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ודל יחיד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₪ 0.00"/>
    <numFmt numFmtId="166" formatCode="₪ #,##0"/>
  </numFmts>
  <fonts count="17">
    <font>
      <name val="Calibri"/>
      <family val="2"/>
      <color theme="1"/>
      <sz val="11"/>
      <scheme val="minor"/>
    </font>
    <font>
      <name val="Arial"/>
      <b val="1"/>
      <color rgb="002EE68A"/>
      <sz val="18"/>
    </font>
    <font>
      <name val="Arial"/>
      <color rgb="009AA7BD"/>
      <sz val="10"/>
    </font>
    <font>
      <name val="Arial"/>
      <b val="1"/>
      <color rgb="000B1220"/>
      <sz val="12"/>
    </font>
    <font>
      <name val="Arial"/>
      <color rgb="00222222"/>
      <sz val="11"/>
    </font>
    <font>
      <name val="Arial"/>
      <color rgb="009AA7BD"/>
      <sz val="9"/>
    </font>
    <font>
      <name val="Arial"/>
      <b val="1"/>
      <color rgb="002EE68A"/>
      <sz val="11"/>
    </font>
    <font>
      <name val="Arial"/>
      <b val="1"/>
      <color rgb="00F3F6FB"/>
      <sz val="11"/>
    </font>
    <font>
      <name val="Arial"/>
      <b val="1"/>
      <color rgb="009AA7BD"/>
      <sz val="10"/>
    </font>
    <font>
      <name val="Arial"/>
      <b val="1"/>
      <color rgb="00222222"/>
      <sz val="11"/>
    </font>
    <font>
      <name val="Arial"/>
      <b val="1"/>
      <color rgb="00FF6B6B"/>
      <sz val="10"/>
    </font>
    <font>
      <name val="Arial"/>
      <color rgb="00222222"/>
      <sz val="10.5"/>
    </font>
    <font>
      <name val="Arial"/>
      <b val="1"/>
      <color rgb="00FFC14D"/>
      <sz val="11"/>
    </font>
    <font>
      <name val="Arial"/>
      <b val="1"/>
      <color rgb="002EE68A"/>
      <sz val="12"/>
    </font>
    <font>
      <name val="Arial"/>
      <b val="1"/>
      <color rgb="00FFC14D"/>
      <sz val="12"/>
    </font>
    <font>
      <name val="Arial"/>
      <color rgb="00222222"/>
      <sz val="10"/>
    </font>
    <font>
      <name val="Arial"/>
      <b val="1"/>
      <color rgb="002EE68A"/>
      <sz val="10"/>
    </font>
  </fonts>
  <fills count="6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2EE68A"/>
      </patternFill>
    </fill>
    <fill>
      <patternFill patternType="solid">
        <fgColor rgb="00FFF4CC"/>
      </patternFill>
    </fill>
    <fill>
      <patternFill patternType="solid">
        <fgColor rgb="001B2742"/>
      </patternFill>
    </fill>
  </fills>
  <borders count="2">
    <border>
      <left/>
      <right/>
      <top/>
      <bottom/>
      <diagonal/>
    </border>
    <border>
      <left style="thin">
        <color rgb="002A3857"/>
      </left>
      <right style="thin">
        <color rgb="002A3857"/>
      </right>
      <top style="thin">
        <color rgb="002A3857"/>
      </top>
      <bottom style="thin">
        <color rgb="002A385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0" fillId="3" borderId="0" pivotButton="0" quotePrefix="0" xfId="0"/>
    <xf numFmtId="0" fontId="4" fillId="0" borderId="0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9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9" fontId="9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166" fontId="11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166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166" fontId="13" fillId="0" borderId="1" applyAlignment="1" pivotButton="0" quotePrefix="0" xfId="0">
      <alignment horizontal="center" vertical="center"/>
    </xf>
    <xf numFmtId="9" fontId="1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13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5"/>
  <sheetViews>
    <sheetView showGridLines="0" rightToLeft="1" workbookViewId="0">
      <selection activeCell="A1" sqref="A1"/>
    </sheetView>
  </sheetViews>
  <sheetFormatPr baseColWidth="8" defaultRowHeight="15"/>
  <cols>
    <col width="2.5" customWidth="1" min="1" max="1"/>
    <col width="40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 ht="30" customHeight="1">
      <c r="B1" s="1" t="inlineStr">
        <is>
          <t>SolarWash — מודל יחידה לאתר</t>
        </is>
      </c>
      <c r="C1" s="2" t="n"/>
      <c r="D1" s="2" t="n"/>
      <c r="E1" s="2" t="n"/>
      <c r="F1" s="2" t="n"/>
    </row>
    <row r="2">
      <c r="B2" s="3" t="inlineStr">
        <is>
          <t>גיבוי כמותי לשקף 7 · כל התאים הצהובים ניתנים לעריכה · התוצאות מתעדכנות אוטומטית</t>
        </is>
      </c>
    </row>
    <row r="4" ht="22" customHeight="1">
      <c r="B4" s="4" t="inlineStr">
        <is>
          <t>① פרמטרי אתר (קבוע לכל התרחישים)</t>
        </is>
      </c>
      <c r="C4" s="5" t="n"/>
      <c r="D4" s="5" t="n"/>
      <c r="E4" s="5" t="n"/>
      <c r="F4" s="5" t="n"/>
    </row>
    <row r="5" ht="18" customHeight="1">
      <c r="B5" s="6" t="inlineStr">
        <is>
          <t>הספק אתר (MWp)</t>
        </is>
      </c>
      <c r="C5" s="7" t="n">
        <v>5</v>
      </c>
      <c r="F5" s="8" t="inlineStr">
        <is>
          <t>גודל אתר ייצוגי; שנה לפי הצי</t>
        </is>
      </c>
    </row>
    <row r="6" ht="18" customHeight="1">
      <c r="B6" s="6" t="inlineStr">
        <is>
          <t>תפוקה סגולית (kWh/kWp/שנה)</t>
        </is>
      </c>
      <c r="C6" s="9" t="n">
        <v>1900</v>
      </c>
      <c r="F6" s="8" t="inlineStr">
        <is>
          <t>טיפוסי לנגב ~1,800–2,050</t>
        </is>
      </c>
    </row>
    <row r="7" ht="18" customHeight="1">
      <c r="B7" s="10" t="inlineStr">
        <is>
          <t>תפוקה שנתית (kWh)</t>
        </is>
      </c>
      <c r="C7" s="11">
        <f>C5*1000*C6</f>
        <v/>
      </c>
      <c r="F7" s="8" t="inlineStr">
        <is>
          <t>מחושב</t>
        </is>
      </c>
    </row>
    <row r="8" ht="18" customHeight="1"/>
    <row r="9" ht="22" customHeight="1">
      <c r="B9" s="4" t="inlineStr">
        <is>
          <t>② תרחישים (הנחות — התאים הצהובים)</t>
        </is>
      </c>
      <c r="C9" s="5" t="n"/>
      <c r="D9" s="5" t="n"/>
      <c r="E9" s="5" t="n"/>
      <c r="F9" s="5" t="n"/>
    </row>
    <row r="10" ht="18" customHeight="1">
      <c r="B10" s="12" t="inlineStr"/>
      <c r="C10" s="13" t="inlineStr">
        <is>
          <t>שמרני</t>
        </is>
      </c>
      <c r="D10" s="13" t="inlineStr">
        <is>
          <t>בסיס</t>
        </is>
      </c>
      <c r="E10" s="13" t="inlineStr">
        <is>
          <t>אופטימי</t>
        </is>
      </c>
      <c r="F10" s="14" t="inlineStr">
        <is>
          <t>הערה</t>
        </is>
      </c>
    </row>
    <row r="11" ht="18" customHeight="1">
      <c r="B11" s="6" t="inlineStr">
        <is>
          <t>אובדן מלכלוך שנתי ממוצע</t>
        </is>
      </c>
      <c r="C11" s="15" t="n">
        <v>0.04</v>
      </c>
      <c r="D11" s="15" t="n">
        <v>0.07000000000000001</v>
      </c>
      <c r="E11" s="15" t="n">
        <v>0.12</v>
      </c>
      <c r="F11" s="8" t="inlineStr">
        <is>
          <t>ממוצע שנתי, לא שיא סופה</t>
        </is>
      </c>
    </row>
    <row r="12" ht="18" customHeight="1">
      <c r="B12" s="6" t="inlineStr">
        <is>
          <t>יעילות השבה מהניקוי</t>
        </is>
      </c>
      <c r="C12" s="15" t="n">
        <v>0.6</v>
      </c>
      <c r="D12" s="15" t="n">
        <v>0.7</v>
      </c>
      <c r="E12" s="15" t="n">
        <v>0.8</v>
      </c>
      <c r="F12" s="8" t="inlineStr">
        <is>
          <t>איזה חלק מהאובדן מוחזר</t>
        </is>
      </c>
    </row>
    <row r="13" ht="18" customHeight="1">
      <c r="B13" s="6" t="inlineStr">
        <is>
          <t>תעריף (₪/kWh)</t>
        </is>
      </c>
      <c r="C13" s="16" t="n">
        <v>0.22</v>
      </c>
      <c r="D13" s="16" t="n">
        <v>0.3</v>
      </c>
      <c r="E13" s="16" t="n">
        <v>0.4</v>
      </c>
      <c r="F13" s="8">
        <f> ה-PPA בפועל (fixed/merchant)</f>
        <v/>
      </c>
    </row>
    <row r="14" ht="18" customHeight="1">
      <c r="B14" s="6" t="inlineStr">
        <is>
          <t>שטיפות בשנה</t>
        </is>
      </c>
      <c r="C14" s="17" t="n">
        <v>6</v>
      </c>
      <c r="D14" s="17" t="n">
        <v>4</v>
      </c>
      <c r="E14" s="17" t="n">
        <v>3</v>
      </c>
      <c r="F14" s="8" t="inlineStr">
        <is>
          <t>פחות שטיפות = תזמון AI חכם</t>
        </is>
      </c>
    </row>
    <row r="15" ht="18" customHeight="1">
      <c r="B15" s="6" t="inlineStr">
        <is>
          <t>עלות תפעול לשטיפה (₪/MWp)</t>
        </is>
      </c>
      <c r="C15" s="18" t="n">
        <v>1200</v>
      </c>
      <c r="D15" s="18" t="n">
        <v>900</v>
      </c>
      <c r="E15" s="18" t="n">
        <v>600</v>
      </c>
      <c r="F15" s="8" t="inlineStr">
        <is>
          <t>אוטונומי; ללא עובדים על גגות</t>
        </is>
      </c>
    </row>
    <row r="16" ht="18" customHeight="1">
      <c r="B16" s="6" t="inlineStr">
        <is>
          <t>פחת רובוט שנתי לאתר (₪)</t>
        </is>
      </c>
      <c r="C16" s="18" t="n">
        <v>30000</v>
      </c>
      <c r="D16" s="18" t="n">
        <v>20000</v>
      </c>
      <c r="E16" s="18" t="n">
        <v>15000</v>
      </c>
      <c r="F16" s="8" t="inlineStr">
        <is>
          <t>אמורטיזציה של החומרה</t>
        </is>
      </c>
    </row>
    <row r="17" ht="18" customHeight="1">
      <c r="B17" s="6" t="inlineStr">
        <is>
          <t>מנוי SaaS שנתי (₪)</t>
        </is>
      </c>
      <c r="C17" s="18">
        <f>700*12</f>
        <v/>
      </c>
      <c r="D17" s="18">
        <f>700*12</f>
        <v/>
      </c>
      <c r="E17" s="18">
        <f>700*12</f>
        <v/>
      </c>
      <c r="F17" s="8" t="inlineStr">
        <is>
          <t>~₪700/חודש/אתר</t>
        </is>
      </c>
    </row>
    <row r="18" ht="18" customHeight="1"/>
    <row r="19" ht="22" customHeight="1">
      <c r="B19" s="4" t="inlineStr">
        <is>
          <t>③ תוצאות לאתר / שנה</t>
        </is>
      </c>
      <c r="C19" s="5" t="n"/>
      <c r="D19" s="5" t="n"/>
      <c r="E19" s="5" t="n"/>
      <c r="F19" s="5" t="n"/>
    </row>
    <row r="20" ht="18" customHeight="1">
      <c r="B20" s="6" t="inlineStr">
        <is>
          <t>אנרגיה מושבת (kWh)</t>
        </is>
      </c>
      <c r="C20" s="19">
        <f>$C$7*C11*C12</f>
        <v/>
      </c>
      <c r="D20" s="19">
        <f>$C$7*D11*D12</f>
        <v/>
      </c>
      <c r="E20" s="19">
        <f>$C$7*E11*E12</f>
        <v/>
      </c>
    </row>
    <row r="21" ht="18" customHeight="1">
      <c r="B21" s="10" t="inlineStr">
        <is>
          <t>הכנסה מושבת (₪)</t>
        </is>
      </c>
      <c r="C21" s="20">
        <f>C20*C13</f>
        <v/>
      </c>
      <c r="D21" s="20">
        <f>D20*D13</f>
        <v/>
      </c>
      <c r="E21" s="20">
        <f>E20*E13</f>
        <v/>
      </c>
    </row>
    <row r="22" ht="18" customHeight="1">
      <c r="B22" s="6" t="inlineStr">
        <is>
          <t>עלות ניקוי — תפעולי (₪)</t>
        </is>
      </c>
      <c r="C22" s="21">
        <f>$C$5*C15*C14</f>
        <v/>
      </c>
      <c r="D22" s="21">
        <f>$C$5*D15*D14</f>
        <v/>
      </c>
      <c r="E22" s="21">
        <f>$C$5*E15*E14</f>
        <v/>
      </c>
    </row>
    <row r="23" ht="18" customHeight="1">
      <c r="B23" s="6" t="inlineStr">
        <is>
          <t>עלות ניקוי — כולל פחת (₪)</t>
        </is>
      </c>
      <c r="C23" s="21">
        <f>C22+C16</f>
        <v/>
      </c>
      <c r="D23" s="21">
        <f>D22+D16</f>
        <v/>
      </c>
      <c r="E23" s="21">
        <f>E22+E16</f>
        <v/>
      </c>
    </row>
    <row r="24" ht="18" customHeight="1">
      <c r="B24" s="6" t="inlineStr">
        <is>
          <t>רווח נטו — תפעולי (₪)</t>
        </is>
      </c>
      <c r="C24" s="21">
        <f>C21-C22</f>
        <v/>
      </c>
      <c r="D24" s="21">
        <f>D21-D22</f>
        <v/>
      </c>
      <c r="E24" s="21">
        <f>E21-E22</f>
        <v/>
      </c>
    </row>
    <row r="25" ht="18" customHeight="1">
      <c r="B25" s="10" t="inlineStr">
        <is>
          <t>רווח נטו — כולל פחת ו-SaaS (₪)</t>
        </is>
      </c>
      <c r="C25" s="20">
        <f>C21-C23-C17</f>
        <v/>
      </c>
      <c r="D25" s="20">
        <f>D21-D23-D17</f>
        <v/>
      </c>
      <c r="E25" s="20">
        <f>E21-E23-E17</f>
        <v/>
      </c>
      <c r="F25" s="8" t="inlineStr">
        <is>
          <t>השורה הכנה לשקף 7</t>
        </is>
      </c>
    </row>
    <row r="26" ht="18" customHeight="1">
      <c r="B26" s="6" t="inlineStr">
        <is>
          <t>ROI ניקוי — תפעולי בלבד</t>
        </is>
      </c>
      <c r="C26" s="22">
        <f>C24/C22</f>
        <v/>
      </c>
      <c r="D26" s="22">
        <f>D24/D22</f>
        <v/>
      </c>
      <c r="E26" s="22">
        <f>E24/E22</f>
        <v/>
      </c>
      <c r="F26" s="8" t="inlineStr">
        <is>
          <t>רגיש למכנה — לא להוביל איתו</t>
        </is>
      </c>
    </row>
    <row r="27" ht="18" customHeight="1">
      <c r="B27" s="23" t="inlineStr">
        <is>
          <t>ROI ניקוי — כולל פחת החומרה</t>
        </is>
      </c>
      <c r="C27" s="24">
        <f>(C21-C23)/C23</f>
        <v/>
      </c>
      <c r="D27" s="24">
        <f>(D21-D23)/D23</f>
        <v/>
      </c>
      <c r="E27" s="24">
        <f>(E21-E23)/E23</f>
        <v/>
      </c>
      <c r="F27" s="8" t="inlineStr">
        <is>
          <t>המספר ההגון להצגה</t>
        </is>
      </c>
    </row>
    <row r="28" ht="18" customHeight="1">
      <c r="B28" s="25" t="inlineStr">
        <is>
          <t>⚠ בתרחיש השמרני הרווח עלול להיות אפסי/שלילי — וזו בדיוק מטרת ה-ROI Clean Engine: לנקות רק כשמשתלם.</t>
        </is>
      </c>
    </row>
    <row r="29" ht="18" customHeight="1"/>
    <row r="30" ht="22" customHeight="1">
      <c r="B30" s="4" t="inlineStr">
        <is>
          <t>④ מבנה תשלום — שני טרנשים · סה"כ ערך חוזה ₪450K</t>
        </is>
      </c>
      <c r="C30" s="5" t="n"/>
      <c r="D30" s="5" t="n"/>
      <c r="E30" s="5" t="n"/>
      <c r="F30" s="5" t="n"/>
    </row>
    <row r="31" ht="18" customHeight="1">
      <c r="B31" s="10" t="inlineStr">
        <is>
          <t>טרנש 1 · תוכנה — חתימה אחת · החזר ~6 ח'</t>
        </is>
      </c>
    </row>
    <row r="32" ht="18" customHeight="1">
      <c r="B32" s="26" t="inlineStr">
        <is>
          <t>אינטגרציית תוכנה + חיבור אינוורטרים</t>
        </is>
      </c>
      <c r="C32" s="27" t="n">
        <v>15000</v>
      </c>
    </row>
    <row r="33" ht="18" customHeight="1">
      <c r="B33" s="26" t="inlineStr">
        <is>
          <t>הקמת מדידה (baseline, בקרה)</t>
        </is>
      </c>
      <c r="C33" s="27" t="n">
        <v>8000</v>
      </c>
    </row>
    <row r="34" ht="18" customHeight="1">
      <c r="B34" s="26" t="inlineStr">
        <is>
          <t>ניטור SaaS + תמיכה (3 ח')</t>
        </is>
      </c>
      <c r="C34" s="27" t="n">
        <v>10000</v>
      </c>
    </row>
    <row r="35" ht="18" customHeight="1">
      <c r="B35" s="26" t="inlineStr">
        <is>
          <t>ניהול פרויקט + דוח לפני/אחרי</t>
        </is>
      </c>
      <c r="C35" s="27" t="n">
        <v>15000</v>
      </c>
    </row>
    <row r="36" ht="18" customHeight="1">
      <c r="B36" s="10" t="inlineStr">
        <is>
          <t>סה"כ טרנש 1 · תוכנה (₪)</t>
        </is>
      </c>
      <c r="C36" s="20">
        <f>SUM(C32:C35)</f>
        <v/>
      </c>
    </row>
    <row r="37" ht="18" customHeight="1">
      <c r="B37" s="28" t="inlineStr">
        <is>
          <t>טרנש 2 · רובוט R&amp;D — אומדן ₪350–450K · ללא החזר · לפי BOM</t>
        </is>
      </c>
    </row>
    <row r="38" ht="18" customHeight="1">
      <c r="B38" s="26" t="inlineStr">
        <is>
          <t>יחידת רובוט פרוטוטייפ (BOM)</t>
        </is>
      </c>
      <c r="C38" s="27" t="n">
        <v>160000</v>
      </c>
    </row>
    <row r="39" ht="18" customHeight="1">
      <c r="B39" s="26" t="inlineStr">
        <is>
          <t>תוכנת בקרה / firmware של הרובוט</t>
        </is>
      </c>
      <c r="C39" s="27" t="n">
        <v>40000</v>
      </c>
    </row>
    <row r="40" ht="18" customHeight="1">
      <c r="B40" s="26" t="inlineStr">
        <is>
          <t>מוביליזציה + התקנה באתר</t>
        </is>
      </c>
      <c r="C40" s="27" t="n">
        <v>35000</v>
      </c>
    </row>
    <row r="41" ht="18" customHeight="1">
      <c r="B41" s="26" t="inlineStr">
        <is>
          <t>הנדסה בשטח (60–90 יום)</t>
        </is>
      </c>
      <c r="C41" s="27" t="n">
        <v>75000</v>
      </c>
    </row>
    <row r="42" ht="18" customHeight="1">
      <c r="B42" s="26" t="inlineStr">
        <is>
          <t>חלפים + יתירות</t>
        </is>
      </c>
      <c r="C42" s="27" t="n">
        <v>25000</v>
      </c>
    </row>
    <row r="43" ht="18" customHeight="1">
      <c r="B43" s="26" t="inlineStr">
        <is>
          <t>ביטוח + בטיחות HV</t>
        </is>
      </c>
      <c r="C43" s="27" t="n">
        <v>22000</v>
      </c>
    </row>
    <row r="44" ht="18" customHeight="1">
      <c r="B44" s="26" t="inlineStr">
        <is>
          <t>אינטגרציית SCADA + kill-switch</t>
        </is>
      </c>
      <c r="C44" s="27" t="n">
        <v>25000</v>
      </c>
    </row>
    <row r="45" ht="18" customHeight="1">
      <c r="B45" s="26" t="inlineStr">
        <is>
          <t>Contingency (~5%)</t>
        </is>
      </c>
      <c r="C45" s="27" t="n">
        <v>18000</v>
      </c>
    </row>
    <row r="46" ht="18" customHeight="1">
      <c r="B46" s="28" t="inlineStr">
        <is>
          <t>סה"כ טרנש 2 · רובוט R&amp;D (₪)</t>
        </is>
      </c>
      <c r="C46" s="29">
        <f>SUM(C38:C45)</f>
        <v/>
      </c>
    </row>
    <row r="47" ht="18" customHeight="1">
      <c r="B47" s="30" t="inlineStr">
        <is>
          <t>סה"כ ערך חוזה (₪)</t>
        </is>
      </c>
      <c r="C47" s="31">
        <f>C36+C46</f>
        <v/>
      </c>
      <c r="F47" s="8" t="inlineStr">
        <is>
          <t>טרנש 1 בחתימה אחת · טרנש 2 נפתח אחרי הוכחת דאטה</t>
        </is>
      </c>
    </row>
    <row r="48" ht="18" customHeight="1"/>
    <row r="49" ht="22" customHeight="1">
      <c r="B49" s="4" t="inlineStr">
        <is>
          <t>⑤ הטווח לשקף 5 · והחזר טרנש התוכנה</t>
        </is>
      </c>
      <c r="C49" s="5" t="n"/>
      <c r="D49" s="5" t="n"/>
      <c r="E49" s="5" t="n"/>
      <c r="F49" s="5" t="n"/>
    </row>
    <row r="50" ht="18" customHeight="1">
      <c r="B50" s="23" t="inlineStr">
        <is>
          <t>ROI ניקוי (כולל פחת)</t>
        </is>
      </c>
      <c r="C50" s="32">
        <f>C27</f>
        <v/>
      </c>
      <c r="D50" s="33" t="inlineStr">
        <is>
          <t>עד</t>
        </is>
      </c>
      <c r="E50" s="34">
        <f>E27</f>
        <v/>
      </c>
      <c r="F50" s="8" t="inlineStr">
        <is>
          <t>במקום מספר בודד</t>
        </is>
      </c>
    </row>
    <row r="51" ht="18" customHeight="1">
      <c r="B51" s="23" t="inlineStr">
        <is>
          <t>רווח נטו לאתר/שנה (כולל הכל)</t>
        </is>
      </c>
      <c r="C51" s="35">
        <f>C25</f>
        <v/>
      </c>
      <c r="D51" s="33" t="inlineStr">
        <is>
          <t>עד</t>
        </is>
      </c>
      <c r="E51" s="31">
        <f>E25</f>
        <v/>
      </c>
      <c r="F51" s="8" t="inlineStr">
        <is>
          <t>הכפל במספר האתרים בצי</t>
        </is>
      </c>
    </row>
    <row r="52" ht="18" customHeight="1">
      <c r="B52" s="10" t="inlineStr">
        <is>
          <t>החזר על טרנש 1 · תוכנה (חודשים)</t>
        </is>
      </c>
      <c r="C52" s="36">
        <f>IF(C25&gt;0,C36/(C25/12),"—")</f>
        <v/>
      </c>
      <c r="E52" s="36">
        <f>IF(E25&gt;0,C36/(E25/12),"—")</f>
        <v/>
      </c>
      <c r="F52" s="8" t="inlineStr">
        <is>
          <t>מחיר טרנש 1 / רווח חודשי — ~6 ח' בבסיס</t>
        </is>
      </c>
    </row>
    <row r="53" ht="18" customHeight="1">
      <c r="B53" s="28" t="inlineStr">
        <is>
          <t>טרנש 2 · רובוט R&amp;D</t>
        </is>
      </c>
      <c r="C53" s="37" t="inlineStr">
        <is>
          <t>ללא החזר</t>
        </is>
      </c>
      <c r="F53" s="8" t="inlineStr">
        <is>
          <t>נמדד ב-uptime · שעות מתועדות · יעילות מול בקרה</t>
        </is>
      </c>
    </row>
    <row r="54" ht="18" customHeight="1"/>
    <row r="55" ht="18" customHeight="1">
      <c r="B55" s="14" t="inlineStr">
        <is>
          <t xml:space="preserve">מקרא: </t>
        </is>
      </c>
      <c r="C55" s="38" t="inlineStr">
        <is>
          <t>קלט</t>
        </is>
      </c>
      <c r="D55" s="39" t="inlineStr">
        <is>
          <t>מחושב</t>
        </is>
      </c>
    </row>
  </sheetData>
  <mergeCells count="8">
    <mergeCell ref="B4:F4"/>
    <mergeCell ref="B30:F30"/>
    <mergeCell ref="B2:F2"/>
    <mergeCell ref="B28:F28"/>
    <mergeCell ref="B19:F19"/>
    <mergeCell ref="B1:F1"/>
    <mergeCell ref="B9:F9"/>
    <mergeCell ref="B49:F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2026-07-14T04:54:52Z</dcterms:created>
  <dcterms:modified xmlns:dcterms="http://purl.org/dc/terms/" xmlns:xsi="http://www.w3.org/2001/XMLSchema-instance" xsi:type="dcterms:W3CDTF">2026-07-14T04:54:52Z</dcterms:modified>
</cp:coreProperties>
</file>